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From the roadmap discussion: a session is ~2 hours of focused work</t>
        </r>
      </text>
    </comment>
    <comment ref="C6" authorId="0">
      <text>
        <r>
          <rPr>
            <sz val="10"/>
            <rFont val="Arial"/>
            <family val="2"/>
          </rPr>
          <t xml:space="preserve">From the roadmap discussion: 4-5 sessions a week</t>
        </r>
      </text>
    </comment>
    <comment ref="C7" authorId="0">
      <text>
        <r>
          <rPr>
            <sz val="10"/>
            <rFont val="Arial"/>
            <family val="2"/>
          </rPr>
          <t xml:space="preserve">From the roadmap discussion: 4-5 sessions a week</t>
        </r>
      </text>
    </comment>
  </commentList>
</comments>
</file>

<file path=xl/sharedStrings.xml><?xml version="1.0" encoding="utf-8"?>
<sst xmlns="http://schemas.openxmlformats.org/spreadsheetml/2006/main" count="63" uniqueCount="46">
  <si>
    <t xml:space="preserve">Placement Tracker: Build Roadmap</t>
  </si>
  <si>
    <t xml:space="preserve">Edit the blue cells (status, session estimates, assumptions); everything else recalculates.</t>
  </si>
  <si>
    <t xml:space="preserve">Assumptions</t>
  </si>
  <si>
    <t xml:space="preserve">Hours per session</t>
  </si>
  <si>
    <t xml:space="preserve">Sessions per week (faster pace)</t>
  </si>
  <si>
    <t xml:space="preserve">Sessions per week (slower pace)</t>
  </si>
  <si>
    <t xml:space="preserve">#</t>
  </si>
  <si>
    <t xml:space="preserve">Module</t>
  </si>
  <si>
    <t xml:space="preserve">Status</t>
  </si>
  <si>
    <t xml:space="preserve">Min sessions</t>
  </si>
  <si>
    <t xml:space="preserve">Max sessions</t>
  </si>
  <si>
    <t xml:space="preserve">Needed for v1 launch?</t>
  </si>
  <si>
    <t xml:space="preserve">Notes</t>
  </si>
  <si>
    <t xml:space="preserve">Big picture</t>
  </si>
  <si>
    <t xml:space="preserve">Done</t>
  </si>
  <si>
    <t xml:space="preserve">Yes</t>
  </si>
  <si>
    <t xml:space="preserve">Docker</t>
  </si>
  <si>
    <t xml:space="preserve">Databases</t>
  </si>
  <si>
    <t xml:space="preserve">APIs (FastAPI)</t>
  </si>
  <si>
    <t xml:space="preserve">Next</t>
  </si>
  <si>
    <t xml:space="preserve">Auth &amp; security (OTP, JWT, roles)</t>
  </si>
  <si>
    <t xml:space="preserve">Not started</t>
  </si>
  <si>
    <t xml:space="preserve">Launch needs admin login only; student accounts can wait for Module 10 (saves 1-2 sessions)</t>
  </si>
  <si>
    <t xml:space="preserve">Placement service (drives, rounds, stats, admin)</t>
  </si>
  <si>
    <t xml:space="preserve">Events (Redis Streams, outbox)</t>
  </si>
  <si>
    <t xml:space="preserve">Frontend (Next.js pages)</t>
  </si>
  <si>
    <t xml:space="preserve">Deployment (GCP, HTTPS, backups)</t>
  </si>
  <si>
    <t xml:space="preserve">Milestone: live site with 2025-26 archive and 2026-27 live board</t>
  </si>
  <si>
    <t xml:space="preserve">Community + realtime + DMs</t>
  </si>
  <si>
    <t xml:space="preserve">No</t>
  </si>
  <si>
    <t xml:space="preserve">Scale &amp; ops (k3s, CI/CD, monitoring)</t>
  </si>
  <si>
    <t xml:space="preserve">Summary</t>
  </si>
  <si>
    <t xml:space="preserve">Modules done</t>
  </si>
  <si>
    <t xml:space="preserve">Total modules</t>
  </si>
  <si>
    <t xml:space="preserve">Progress</t>
  </si>
  <si>
    <t xml:space="preserve">Remaining sessions (min)</t>
  </si>
  <si>
    <t xml:space="preserve">Remaining sessions (max)</t>
  </si>
  <si>
    <t xml:space="preserve">Remaining hours (min)</t>
  </si>
  <si>
    <t xml:space="preserve">Remaining hours (max)</t>
  </si>
  <si>
    <t xml:space="preserve">Remaining weeks (best case)</t>
  </si>
  <si>
    <t xml:space="preserve">Remaining weeks (slower case)</t>
  </si>
  <si>
    <t xml:space="preserve">Sessions to v1 launch (min)</t>
  </si>
  <si>
    <t xml:space="preserve">Sessions to v1 launch (max)</t>
  </si>
  <si>
    <t xml:space="preserve">Weeks to v1 launch (best case)</t>
  </si>
  <si>
    <t xml:space="preserve">Weeks to v1 launch (slower case)</t>
  </si>
  <si>
    <t xml:space="preserve">Note: the v1 launch figures assume full Module 5; doing admin-only login for launch saves 1-2 sessions.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</si>
</sst>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2EFDA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4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C5" s="5" t="n">
        <v>2</v>
      </c>
    </row>
    <row r="6" customFormat="false" ht="15" hidden="false" customHeight="false" outlineLevel="0" collapsed="false">
      <c r="A6" s="4" t="s">
        <v>4</v>
      </c>
      <c r="C6" s="5" t="n">
        <v>5</v>
      </c>
    </row>
    <row r="7" customFormat="false" ht="15" hidden="false" customHeight="false" outlineLevel="0" collapsed="false">
      <c r="A7" s="4" t="s">
        <v>5</v>
      </c>
      <c r="C7" s="5" t="n">
        <v>4</v>
      </c>
    </row>
    <row r="9" customFormat="false" ht="30" hidden="false" customHeight="true" outlineLevel="0" collapsed="false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  <c r="G9" s="6" t="s">
        <v>12</v>
      </c>
    </row>
    <row r="10" customFormat="false" ht="15" hidden="false" customHeight="false" outlineLevel="0" collapsed="false">
      <c r="A10" s="7" t="n">
        <v>1</v>
      </c>
      <c r="B10" s="8" t="s">
        <v>13</v>
      </c>
      <c r="C10" s="9" t="s">
        <v>14</v>
      </c>
      <c r="D10" s="9"/>
      <c r="E10" s="9"/>
      <c r="F10" s="7" t="s">
        <v>15</v>
      </c>
      <c r="G10" s="8"/>
    </row>
    <row r="11" customFormat="false" ht="15" hidden="false" customHeight="false" outlineLevel="0" collapsed="false">
      <c r="A11" s="7" t="n">
        <v>2</v>
      </c>
      <c r="B11" s="8" t="s">
        <v>16</v>
      </c>
      <c r="C11" s="9" t="s">
        <v>14</v>
      </c>
      <c r="D11" s="9"/>
      <c r="E11" s="9"/>
      <c r="F11" s="7" t="s">
        <v>15</v>
      </c>
      <c r="G11" s="8"/>
    </row>
    <row r="12" customFormat="false" ht="15" hidden="false" customHeight="false" outlineLevel="0" collapsed="false">
      <c r="A12" s="7" t="n">
        <v>3</v>
      </c>
      <c r="B12" s="8" t="s">
        <v>17</v>
      </c>
      <c r="C12" s="9" t="s">
        <v>14</v>
      </c>
      <c r="D12" s="9"/>
      <c r="E12" s="9"/>
      <c r="F12" s="7" t="s">
        <v>15</v>
      </c>
      <c r="G12" s="8"/>
    </row>
    <row r="13" customFormat="false" ht="15" hidden="false" customHeight="false" outlineLevel="0" collapsed="false">
      <c r="A13" s="7" t="n">
        <v>4</v>
      </c>
      <c r="B13" s="8" t="s">
        <v>18</v>
      </c>
      <c r="C13" s="9" t="s">
        <v>19</v>
      </c>
      <c r="D13" s="9" t="n">
        <v>1</v>
      </c>
      <c r="E13" s="9" t="n">
        <v>2</v>
      </c>
      <c r="F13" s="7" t="s">
        <v>15</v>
      </c>
      <c r="G13" s="8"/>
    </row>
    <row r="14" customFormat="false" ht="23.85" hidden="false" customHeight="false" outlineLevel="0" collapsed="false">
      <c r="A14" s="7" t="n">
        <v>5</v>
      </c>
      <c r="B14" s="8" t="s">
        <v>20</v>
      </c>
      <c r="C14" s="9" t="s">
        <v>21</v>
      </c>
      <c r="D14" s="9" t="n">
        <v>2</v>
      </c>
      <c r="E14" s="9" t="n">
        <v>3</v>
      </c>
      <c r="F14" s="7" t="s">
        <v>15</v>
      </c>
      <c r="G14" s="8" t="s">
        <v>22</v>
      </c>
    </row>
    <row r="15" customFormat="false" ht="15" hidden="false" customHeight="false" outlineLevel="0" collapsed="false">
      <c r="A15" s="7" t="n">
        <v>6</v>
      </c>
      <c r="B15" s="8" t="s">
        <v>23</v>
      </c>
      <c r="C15" s="9" t="s">
        <v>21</v>
      </c>
      <c r="D15" s="9" t="n">
        <v>3</v>
      </c>
      <c r="E15" s="9" t="n">
        <v>4</v>
      </c>
      <c r="F15" s="7" t="s">
        <v>15</v>
      </c>
      <c r="G15" s="8"/>
    </row>
    <row r="16" customFormat="false" ht="15" hidden="false" customHeight="false" outlineLevel="0" collapsed="false">
      <c r="A16" s="7" t="n">
        <v>7</v>
      </c>
      <c r="B16" s="8" t="s">
        <v>24</v>
      </c>
      <c r="C16" s="9" t="s">
        <v>21</v>
      </c>
      <c r="D16" s="9" t="n">
        <v>2</v>
      </c>
      <c r="E16" s="9" t="n">
        <v>2</v>
      </c>
      <c r="F16" s="7" t="s">
        <v>15</v>
      </c>
      <c r="G16" s="8"/>
    </row>
    <row r="17" customFormat="false" ht="15" hidden="false" customHeight="false" outlineLevel="0" collapsed="false">
      <c r="A17" s="7" t="n">
        <v>8</v>
      </c>
      <c r="B17" s="8" t="s">
        <v>25</v>
      </c>
      <c r="C17" s="9" t="s">
        <v>21</v>
      </c>
      <c r="D17" s="9" t="n">
        <v>3</v>
      </c>
      <c r="E17" s="9" t="n">
        <v>4</v>
      </c>
      <c r="F17" s="7" t="s">
        <v>15</v>
      </c>
      <c r="G17" s="8"/>
    </row>
    <row r="18" customFormat="false" ht="23.85" hidden="false" customHeight="false" outlineLevel="0" collapsed="false">
      <c r="A18" s="7" t="n">
        <v>9</v>
      </c>
      <c r="B18" s="8" t="s">
        <v>26</v>
      </c>
      <c r="C18" s="9" t="s">
        <v>21</v>
      </c>
      <c r="D18" s="9" t="n">
        <v>2</v>
      </c>
      <c r="E18" s="9" t="n">
        <v>2</v>
      </c>
      <c r="F18" s="7" t="s">
        <v>15</v>
      </c>
      <c r="G18" s="8" t="s">
        <v>27</v>
      </c>
    </row>
    <row r="19" customFormat="false" ht="15" hidden="false" customHeight="false" outlineLevel="0" collapsed="false">
      <c r="A19" s="7" t="n">
        <v>10</v>
      </c>
      <c r="B19" s="8" t="s">
        <v>28</v>
      </c>
      <c r="C19" s="9" t="s">
        <v>21</v>
      </c>
      <c r="D19" s="9" t="n">
        <v>4</v>
      </c>
      <c r="E19" s="9" t="n">
        <v>5</v>
      </c>
      <c r="F19" s="7" t="s">
        <v>29</v>
      </c>
      <c r="G19" s="8"/>
    </row>
    <row r="20" customFormat="false" ht="15" hidden="false" customHeight="false" outlineLevel="0" collapsed="false">
      <c r="A20" s="7" t="n">
        <v>11</v>
      </c>
      <c r="B20" s="8" t="s">
        <v>30</v>
      </c>
      <c r="C20" s="9" t="s">
        <v>21</v>
      </c>
      <c r="D20" s="9" t="n">
        <v>2</v>
      </c>
      <c r="E20" s="9" t="n">
        <v>3</v>
      </c>
      <c r="F20" s="7" t="s">
        <v>29</v>
      </c>
      <c r="G20" s="8"/>
    </row>
    <row r="22" customFormat="false" ht="15" hidden="false" customHeight="false" outlineLevel="0" collapsed="false">
      <c r="A22" s="3" t="s">
        <v>31</v>
      </c>
    </row>
    <row r="23" customFormat="false" ht="15" hidden="false" customHeight="false" outlineLevel="0" collapsed="false">
      <c r="A23" s="4" t="s">
        <v>32</v>
      </c>
      <c r="C23" s="10" t="n">
        <f aca="false">COUNTIF(C10:C20,"Done")</f>
        <v>3</v>
      </c>
    </row>
    <row r="24" customFormat="false" ht="15" hidden="false" customHeight="false" outlineLevel="0" collapsed="false">
      <c r="A24" s="4" t="s">
        <v>33</v>
      </c>
      <c r="C24" s="10" t="n">
        <f aca="false">COUNTA(B10:B20)</f>
        <v>11</v>
      </c>
    </row>
    <row r="25" customFormat="false" ht="15" hidden="false" customHeight="false" outlineLevel="0" collapsed="false">
      <c r="A25" s="4" t="s">
        <v>34</v>
      </c>
      <c r="C25" s="11" t="n">
        <f aca="false">C23/C24</f>
        <v>0.272727272727273</v>
      </c>
    </row>
    <row r="26" customFormat="false" ht="15" hidden="false" customHeight="false" outlineLevel="0" collapsed="false">
      <c r="A26" s="4" t="s">
        <v>35</v>
      </c>
      <c r="C26" s="10" t="n">
        <f aca="false">SUMIFS(D10:D20,C10:C20,"&lt;&gt;Done")</f>
        <v>19</v>
      </c>
    </row>
    <row r="27" customFormat="false" ht="15" hidden="false" customHeight="false" outlineLevel="0" collapsed="false">
      <c r="A27" s="4" t="s">
        <v>36</v>
      </c>
      <c r="C27" s="10" t="n">
        <f aca="false">SUMIFS(E10:E20,C10:C20,"&lt;&gt;Done")</f>
        <v>25</v>
      </c>
    </row>
    <row r="28" customFormat="false" ht="15" hidden="false" customHeight="false" outlineLevel="0" collapsed="false">
      <c r="A28" s="4" t="s">
        <v>37</v>
      </c>
      <c r="C28" s="10" t="n">
        <f aca="false">C26*$C$5</f>
        <v>38</v>
      </c>
    </row>
    <row r="29" customFormat="false" ht="15" hidden="false" customHeight="false" outlineLevel="0" collapsed="false">
      <c r="A29" s="4" t="s">
        <v>38</v>
      </c>
      <c r="C29" s="10" t="n">
        <f aca="false">C27*$C$5</f>
        <v>50</v>
      </c>
    </row>
    <row r="30" customFormat="false" ht="15" hidden="false" customHeight="false" outlineLevel="0" collapsed="false">
      <c r="A30" s="4" t="s">
        <v>39</v>
      </c>
      <c r="C30" s="12" t="n">
        <f aca="false">C26/$C$6</f>
        <v>3.8</v>
      </c>
    </row>
    <row r="31" customFormat="false" ht="15" hidden="false" customHeight="false" outlineLevel="0" collapsed="false">
      <c r="A31" s="4" t="s">
        <v>40</v>
      </c>
      <c r="C31" s="12" t="n">
        <f aca="false">C27/$C$7</f>
        <v>6.25</v>
      </c>
    </row>
    <row r="32" customFormat="false" ht="15" hidden="false" customHeight="false" outlineLevel="0" collapsed="false">
      <c r="A32" s="4" t="s">
        <v>41</v>
      </c>
      <c r="C32" s="10" t="n">
        <f aca="false">SUMIFS(D10:D20,C10:C20,"&lt;&gt;Done",F10:F20,"Yes")</f>
        <v>13</v>
      </c>
    </row>
    <row r="33" customFormat="false" ht="15" hidden="false" customHeight="false" outlineLevel="0" collapsed="false">
      <c r="A33" s="4" t="s">
        <v>42</v>
      </c>
      <c r="C33" s="10" t="n">
        <f aca="false">SUMIFS(E10:E20,C10:C20,"&lt;&gt;Done",F10:F20,"Yes")</f>
        <v>17</v>
      </c>
    </row>
    <row r="34" customFormat="false" ht="15" hidden="false" customHeight="false" outlineLevel="0" collapsed="false">
      <c r="A34" s="4" t="s">
        <v>43</v>
      </c>
      <c r="C34" s="12" t="n">
        <f aca="false">C32/$C$6</f>
        <v>2.6</v>
      </c>
    </row>
    <row r="35" customFormat="false" ht="15" hidden="false" customHeight="false" outlineLevel="0" collapsed="false">
      <c r="A35" s="4" t="s">
        <v>44</v>
      </c>
      <c r="C35" s="12" t="n">
        <f aca="false">C33/$C$7</f>
        <v>4.25</v>
      </c>
    </row>
    <row r="37" customFormat="false" ht="15" hidden="false" customHeight="false" outlineLevel="0" collapsed="false">
      <c r="A37" s="2" t="s">
        <v>45</v>
      </c>
    </row>
  </sheetData>
  <conditionalFormatting sqref="A10:G20">
    <cfRule type="expression" priority="2" aboveAverage="0" equalAverage="0" bottom="0" percent="0" rank="0" text="" dxfId="0">
      <formula>$C10="Done"</formula>
    </cfRule>
    <cfRule type="expression" priority="3" aboveAverage="0" equalAverage="0" bottom="0" percent="0" rank="0" text="" dxfId="1">
      <formula>OR($C10="Next",$C10="In progress")</formula>
    </cfRule>
  </conditionalFormatting>
  <dataValidations count="2">
    <dataValidation allowBlank="false" errorStyle="stop" operator="between" showDropDown="false" showErrorMessage="false" showInputMessage="false" sqref="C10:C20" type="list">
      <formula1>"Done,Next,In progress,Not started"</formula1>
      <formula2>0</formula2>
    </dataValidation>
    <dataValidation allowBlank="false" errorStyle="stop" operator="between" showDropDown="false" showErrorMessage="false" showInputMessage="false" sqref="F10:F2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2026-10-04T19:49:33Z</dcterms:created>
  <dc:creator>openpyxl</dc:creator>
  <dc:description/>
  <dc:language>en-US</dc:language>
  <cp:lastModifiedBy/>
  <dcterms:modified xsi:type="dcterms:W3CDTF">2026-10-04T19:49:33Z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